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Grege\These_VE\GREGE_LBBE_BODINIER_Remi\02-These\50-Article\Domaine vital\Dossier soumission PCI\Data\"/>
    </mc:Choice>
  </mc:AlternateContent>
  <xr:revisionPtr revIDLastSave="0" documentId="13_ncr:1_{42F96B1D-7F9A-4820-8563-81C49A6FD8AC}" xr6:coauthVersionLast="47" xr6:coauthVersionMax="47" xr10:uidLastSave="{00000000-0000-0000-0000-000000000000}"/>
  <bookViews>
    <workbookView xWindow="-28920" yWindow="-120" windowWidth="29040" windowHeight="15720" xr2:uid="{28E52258-8FA2-4519-93F6-CD82F81F6CF2}"/>
  </bookViews>
  <sheets>
    <sheet name="Feuil1" sheetId="1" r:id="rId1"/>
  </sheets>
  <definedNames>
    <definedName name="_xlnm._FilterDatabase" localSheetId="0" hidden="1">Feuil1!$B$1:$N$65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K2" i="1"/>
  <c r="K17" i="1"/>
  <c r="K3" i="1"/>
  <c r="M3" i="1"/>
  <c r="K4" i="1"/>
  <c r="M4" i="1"/>
  <c r="K5" i="1"/>
  <c r="M5" i="1"/>
  <c r="K6" i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M17" i="1"/>
  <c r="K18" i="1"/>
  <c r="M18" i="1"/>
  <c r="N18" i="1" s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N48" i="1" s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N60" i="1"/>
  <c r="K61" i="1"/>
  <c r="M61" i="1"/>
  <c r="K62" i="1"/>
  <c r="M62" i="1"/>
  <c r="N62" i="1" s="1"/>
  <c r="K63" i="1"/>
  <c r="M63" i="1"/>
  <c r="K64" i="1"/>
  <c r="M64" i="1"/>
  <c r="K65" i="1"/>
  <c r="M65" i="1"/>
  <c r="N57" i="1" l="1"/>
  <c r="N45" i="1"/>
  <c r="N7" i="1"/>
  <c r="N30" i="1"/>
  <c r="N43" i="1"/>
  <c r="N39" i="1"/>
  <c r="N27" i="1"/>
  <c r="N64" i="1"/>
  <c r="N50" i="1"/>
  <c r="N51" i="1"/>
  <c r="N2" i="1"/>
  <c r="N29" i="1"/>
  <c r="N6" i="1"/>
  <c r="N19" i="1"/>
  <c r="N4" i="1"/>
  <c r="N8" i="1"/>
  <c r="N42" i="1"/>
  <c r="N61" i="1"/>
  <c r="N11" i="1"/>
  <c r="N37" i="1"/>
  <c r="N15" i="1"/>
  <c r="N52" i="1"/>
  <c r="N23" i="1"/>
  <c r="N47" i="1"/>
  <c r="N33" i="1"/>
  <c r="N16" i="1"/>
  <c r="N28" i="1"/>
  <c r="N63" i="1"/>
  <c r="N58" i="1"/>
  <c r="N34" i="1"/>
  <c r="N9" i="1"/>
  <c r="N32" i="1"/>
  <c r="N44" i="1"/>
  <c r="N55" i="1"/>
  <c r="N65" i="1"/>
  <c r="N35" i="1"/>
  <c r="N38" i="1"/>
  <c r="N36" i="1"/>
  <c r="N25" i="1"/>
  <c r="N59" i="1"/>
  <c r="N56" i="1"/>
  <c r="N54" i="1"/>
  <c r="N53" i="1"/>
  <c r="N49" i="1"/>
  <c r="N46" i="1"/>
  <c r="N40" i="1"/>
  <c r="N41" i="1"/>
  <c r="N31" i="1"/>
  <c r="N26" i="1"/>
  <c r="N24" i="1"/>
  <c r="N22" i="1"/>
  <c r="N20" i="1"/>
  <c r="N21" i="1"/>
  <c r="N17" i="1"/>
  <c r="N14" i="1"/>
  <c r="N10" i="1"/>
  <c r="N13" i="1"/>
  <c r="N12" i="1"/>
  <c r="N3" i="1"/>
  <c r="N5" i="1"/>
</calcChain>
</file>

<file path=xl/sharedStrings.xml><?xml version="1.0" encoding="utf-8"?>
<sst xmlns="http://schemas.openxmlformats.org/spreadsheetml/2006/main" count="398" uniqueCount="39">
  <si>
    <t>M</t>
  </si>
  <si>
    <t>EHR</t>
  </si>
  <si>
    <t>GAM</t>
  </si>
  <si>
    <t>Kernel</t>
  </si>
  <si>
    <t>F</t>
  </si>
  <si>
    <t>River</t>
  </si>
  <si>
    <t>Marsh</t>
  </si>
  <si>
    <t>Breeding</t>
  </si>
  <si>
    <t>Non-breeding</t>
  </si>
  <si>
    <t>Individual</t>
  </si>
  <si>
    <t>Sex</t>
  </si>
  <si>
    <t>Method</t>
  </si>
  <si>
    <t>Landscape_type</t>
  </si>
  <si>
    <t>Period</t>
  </si>
  <si>
    <t>HR0W</t>
  </si>
  <si>
    <t>W0HR</t>
  </si>
  <si>
    <t>WCI</t>
  </si>
  <si>
    <t>LoCoH</t>
  </si>
  <si>
    <t>Individual_year</t>
  </si>
  <si>
    <t>Area_95_ha</t>
  </si>
  <si>
    <t>Area_50_ha</t>
  </si>
  <si>
    <t>Area_ZHI</t>
  </si>
  <si>
    <t>WI_area_outside_HR</t>
  </si>
  <si>
    <t>HR_area_outside_WI</t>
  </si>
  <si>
    <t>M02LG</t>
  </si>
  <si>
    <t>M02LG2</t>
  </si>
  <si>
    <t>M03LG</t>
  </si>
  <si>
    <t>M04LG</t>
  </si>
  <si>
    <t>M05LG</t>
  </si>
  <si>
    <t>M10LG</t>
  </si>
  <si>
    <t>M01CA</t>
  </si>
  <si>
    <t>M01CA2</t>
  </si>
  <si>
    <t>M02CA</t>
  </si>
  <si>
    <t>M03CA</t>
  </si>
  <si>
    <t>M04CA</t>
  </si>
  <si>
    <t>M01RM</t>
  </si>
  <si>
    <t>M02RM</t>
  </si>
  <si>
    <t>M03RM</t>
  </si>
  <si>
    <t>M04RM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</si>
</sst>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CB49-1BA0-4667-9DDF-E9AE55A0F8B8}">
  <dimension ref="A1:N65"/>
  <sheetViews>
    <sheetView tabSelected="1" workbookViewId="0">
      <pane xSplit="4" ySplit="1" topLeftCell="E2" activePane="bottomRight" state="frozen"/>
      <selection pane="topRight" activeCell="D1" sqref="D1"/>
      <selection pane="bottomLeft" activeCell="A2" sqref="A2"/>
      <selection pane="bottomRight" sqref="A1:N1048576"/>
    </sheetView>
  </sheetViews>
  <sheetFormatPr baseColWidth="10" defaultRowHeight="15" x14ac:dyDescent="0.25"/>
  <cols>
    <col min="1" max="1" width="9.85546875" bestFit="1" customWidth="1"/>
    <col min="2" max="2" width="16.7109375" bestFit="1" customWidth="1"/>
    <col min="3" max="3" width="6.140625" bestFit="1" customWidth="1"/>
    <col min="4" max="4" width="9.85546875" bestFit="1" customWidth="1"/>
    <col min="5" max="5" width="17.28515625" bestFit="1" customWidth="1"/>
    <col min="6" max="6" width="13.140625" bestFit="1" customWidth="1"/>
    <col min="7" max="8" width="13.28515625" bestFit="1" customWidth="1"/>
    <col min="9" max="9" width="12" bestFit="1" customWidth="1"/>
    <col min="10" max="10" width="21.28515625" bestFit="1" customWidth="1"/>
    <col min="11" max="11" width="12" bestFit="1" customWidth="1"/>
    <col min="12" max="12" width="21.28515625" bestFit="1" customWidth="1"/>
    <col min="13" max="14" width="12" bestFit="1" customWidth="1"/>
  </cols>
  <sheetData>
    <row r="1" spans="1:14" x14ac:dyDescent="0.25">
      <c r="A1" t="s">
        <v>9</v>
      </c>
      <c r="B1" t="s">
        <v>18</v>
      </c>
      <c r="C1" t="s">
        <v>10</v>
      </c>
      <c r="D1" t="s">
        <v>11</v>
      </c>
      <c r="E1" t="s">
        <v>12</v>
      </c>
      <c r="F1" t="s">
        <v>13</v>
      </c>
      <c r="G1" t="s">
        <v>19</v>
      </c>
      <c r="H1" t="s">
        <v>20</v>
      </c>
      <c r="I1" t="s">
        <v>21</v>
      </c>
      <c r="J1" t="s">
        <v>23</v>
      </c>
      <c r="K1" t="s">
        <v>14</v>
      </c>
      <c r="L1" t="s">
        <v>22</v>
      </c>
      <c r="M1" t="s">
        <v>15</v>
      </c>
      <c r="N1" t="s">
        <v>16</v>
      </c>
    </row>
    <row r="2" spans="1:14" x14ac:dyDescent="0.25">
      <c r="A2" t="s">
        <v>30</v>
      </c>
      <c r="B2" t="s">
        <v>30</v>
      </c>
      <c r="C2" t="s">
        <v>0</v>
      </c>
      <c r="D2" t="s">
        <v>1</v>
      </c>
      <c r="E2" t="s">
        <v>5</v>
      </c>
      <c r="F2" t="s">
        <v>7</v>
      </c>
      <c r="G2">
        <v>3332.393</v>
      </c>
      <c r="H2">
        <v>39.180056728335003</v>
      </c>
      <c r="I2">
        <v>3181.65543410793</v>
      </c>
      <c r="J2">
        <v>611.29399999999998</v>
      </c>
      <c r="K2">
        <f t="shared" ref="K2:K33" si="0">J2/G2</f>
        <v>0.1834399484094463</v>
      </c>
      <c r="L2">
        <v>460.55654988699001</v>
      </c>
      <c r="M2">
        <f t="shared" ref="M2:M33" si="1">L2/I2</f>
        <v>0.14475374830025253</v>
      </c>
      <c r="N2">
        <f t="shared" ref="N2:N33" si="2">(3*(1/K2))+(1/M2)</f>
        <v>23.2624098150226</v>
      </c>
    </row>
    <row r="3" spans="1:14" x14ac:dyDescent="0.25">
      <c r="A3" t="s">
        <v>30</v>
      </c>
      <c r="B3" t="s">
        <v>30</v>
      </c>
      <c r="C3" t="s">
        <v>0</v>
      </c>
      <c r="D3" t="s">
        <v>2</v>
      </c>
      <c r="E3" t="s">
        <v>5</v>
      </c>
      <c r="F3" t="s">
        <v>7</v>
      </c>
      <c r="G3">
        <v>2862.433</v>
      </c>
      <c r="H3">
        <v>56.361708525745499</v>
      </c>
      <c r="I3">
        <v>3181.65543410793</v>
      </c>
      <c r="J3">
        <v>537.83783280900002</v>
      </c>
      <c r="K3">
        <f t="shared" si="0"/>
        <v>0.18789534385922746</v>
      </c>
      <c r="L3">
        <v>857.06022905077498</v>
      </c>
      <c r="M3">
        <f t="shared" si="1"/>
        <v>0.26937556463937989</v>
      </c>
      <c r="N3">
        <f t="shared" si="2"/>
        <v>19.678624175803083</v>
      </c>
    </row>
    <row r="4" spans="1:14" x14ac:dyDescent="0.25">
      <c r="A4" t="s">
        <v>30</v>
      </c>
      <c r="B4" t="s">
        <v>30</v>
      </c>
      <c r="C4" t="s">
        <v>0</v>
      </c>
      <c r="D4" t="s">
        <v>3</v>
      </c>
      <c r="E4" t="s">
        <v>5</v>
      </c>
      <c r="F4" t="s">
        <v>7</v>
      </c>
      <c r="G4">
        <v>2881.59225357078</v>
      </c>
      <c r="H4">
        <v>494.86490670077899</v>
      </c>
      <c r="I4">
        <v>3181.65543410793</v>
      </c>
      <c r="J4">
        <v>1133.1701840282601</v>
      </c>
      <c r="K4">
        <f t="shared" si="0"/>
        <v>0.39324445803325248</v>
      </c>
      <c r="L4">
        <v>1433.23336432579</v>
      </c>
      <c r="M4">
        <f t="shared" si="1"/>
        <v>0.45046781274969799</v>
      </c>
      <c r="N4">
        <f t="shared" si="2"/>
        <v>9.8487568476340392</v>
      </c>
    </row>
    <row r="5" spans="1:14" x14ac:dyDescent="0.25">
      <c r="A5" t="s">
        <v>30</v>
      </c>
      <c r="B5" t="s">
        <v>30</v>
      </c>
      <c r="C5" t="s">
        <v>0</v>
      </c>
      <c r="D5" t="s">
        <v>17</v>
      </c>
      <c r="E5" t="s">
        <v>5</v>
      </c>
      <c r="F5" t="s">
        <v>7</v>
      </c>
      <c r="G5">
        <v>3123.0376344117099</v>
      </c>
      <c r="H5">
        <v>505.99731677246001</v>
      </c>
      <c r="I5">
        <v>3181.65543410793</v>
      </c>
      <c r="J5">
        <v>1790.46573714947</v>
      </c>
      <c r="K5">
        <f t="shared" si="0"/>
        <v>0.57330904931177429</v>
      </c>
      <c r="L5">
        <v>1849.08380976271</v>
      </c>
      <c r="M5">
        <f t="shared" si="1"/>
        <v>0.58117035237071624</v>
      </c>
      <c r="N5">
        <f t="shared" si="2"/>
        <v>6.9534456656191921</v>
      </c>
    </row>
    <row r="6" spans="1:14" x14ac:dyDescent="0.25">
      <c r="A6" t="s">
        <v>30</v>
      </c>
      <c r="B6" t="s">
        <v>31</v>
      </c>
      <c r="C6" t="s">
        <v>0</v>
      </c>
      <c r="D6" t="s">
        <v>1</v>
      </c>
      <c r="E6" t="s">
        <v>5</v>
      </c>
      <c r="F6" t="s">
        <v>8</v>
      </c>
      <c r="G6">
        <v>2250.3580000000002</v>
      </c>
      <c r="H6">
        <v>175.661651405296</v>
      </c>
      <c r="I6">
        <v>2705.3503314638001</v>
      </c>
      <c r="J6">
        <v>329.82803397200001</v>
      </c>
      <c r="K6">
        <f t="shared" si="0"/>
        <v>0.14656691689588944</v>
      </c>
      <c r="L6">
        <v>784.82023944369996</v>
      </c>
      <c r="M6">
        <f t="shared" si="1"/>
        <v>0.2900993007508394</v>
      </c>
      <c r="N6">
        <f t="shared" si="2"/>
        <v>23.915561825697399</v>
      </c>
    </row>
    <row r="7" spans="1:14" x14ac:dyDescent="0.25">
      <c r="A7" t="s">
        <v>30</v>
      </c>
      <c r="B7" t="s">
        <v>31</v>
      </c>
      <c r="C7" t="s">
        <v>0</v>
      </c>
      <c r="D7" t="s">
        <v>2</v>
      </c>
      <c r="E7" t="s">
        <v>5</v>
      </c>
      <c r="F7" t="s">
        <v>8</v>
      </c>
      <c r="G7">
        <v>2808.6610000000001</v>
      </c>
      <c r="H7">
        <v>174.77103460415299</v>
      </c>
      <c r="I7">
        <v>2705.3503314638001</v>
      </c>
      <c r="J7">
        <v>376.34</v>
      </c>
      <c r="K7">
        <f t="shared" si="0"/>
        <v>0.1339926748012665</v>
      </c>
      <c r="L7">
        <v>273.02882151379998</v>
      </c>
      <c r="M7">
        <f t="shared" si="1"/>
        <v>0.10092179868108639</v>
      </c>
      <c r="N7">
        <f t="shared" si="2"/>
        <v>32.29794571010801</v>
      </c>
    </row>
    <row r="8" spans="1:14" x14ac:dyDescent="0.25">
      <c r="A8" t="s">
        <v>30</v>
      </c>
      <c r="B8" t="s">
        <v>31</v>
      </c>
      <c r="C8" t="s">
        <v>0</v>
      </c>
      <c r="D8" t="s">
        <v>3</v>
      </c>
      <c r="E8" t="s">
        <v>5</v>
      </c>
      <c r="F8" t="s">
        <v>8</v>
      </c>
      <c r="G8">
        <v>1975.8086362551701</v>
      </c>
      <c r="H8">
        <v>415.35355266017302</v>
      </c>
      <c r="I8">
        <v>2705.3503314638001</v>
      </c>
      <c r="J8">
        <v>883.98198681243798</v>
      </c>
      <c r="K8">
        <f t="shared" si="0"/>
        <v>0.4474026333278332</v>
      </c>
      <c r="L8">
        <v>1613.5236820873999</v>
      </c>
      <c r="M8">
        <f t="shared" si="1"/>
        <v>0.59641949632983804</v>
      </c>
      <c r="N8">
        <f t="shared" si="2"/>
        <v>8.3820417815591988</v>
      </c>
    </row>
    <row r="9" spans="1:14" x14ac:dyDescent="0.25">
      <c r="A9" t="s">
        <v>30</v>
      </c>
      <c r="B9" t="s">
        <v>31</v>
      </c>
      <c r="C9" t="s">
        <v>0</v>
      </c>
      <c r="D9" t="s">
        <v>17</v>
      </c>
      <c r="E9" t="s">
        <v>5</v>
      </c>
      <c r="F9" t="s">
        <v>8</v>
      </c>
      <c r="G9">
        <v>3024.1433310262701</v>
      </c>
      <c r="H9">
        <v>597.284480645999</v>
      </c>
      <c r="I9">
        <v>2705.3503314638001</v>
      </c>
      <c r="J9">
        <v>1944.17137707609</v>
      </c>
      <c r="K9">
        <f t="shared" si="0"/>
        <v>0.64288334389769752</v>
      </c>
      <c r="L9">
        <v>1625.3781753735</v>
      </c>
      <c r="M9">
        <f t="shared" si="1"/>
        <v>0.60080136626669234</v>
      </c>
      <c r="N9">
        <f t="shared" si="2"/>
        <v>6.3309200926578129</v>
      </c>
    </row>
    <row r="10" spans="1:14" x14ac:dyDescent="0.25">
      <c r="A10" t="s">
        <v>32</v>
      </c>
      <c r="B10" t="s">
        <v>32</v>
      </c>
      <c r="C10" t="s">
        <v>0</v>
      </c>
      <c r="D10" t="s">
        <v>1</v>
      </c>
      <c r="E10" t="s">
        <v>5</v>
      </c>
      <c r="F10" t="s">
        <v>8</v>
      </c>
      <c r="G10">
        <v>5542.7929999999997</v>
      </c>
      <c r="H10">
        <v>326.920635774922</v>
      </c>
      <c r="I10">
        <v>6453.9325489466</v>
      </c>
      <c r="J10">
        <v>1185.7148715195999</v>
      </c>
      <c r="K10">
        <f t="shared" si="0"/>
        <v>0.2139201069784854</v>
      </c>
      <c r="L10">
        <v>2096.8542760578998</v>
      </c>
      <c r="M10">
        <f t="shared" si="1"/>
        <v>0.32489559817295344</v>
      </c>
      <c r="N10">
        <f t="shared" si="2"/>
        <v>17.101838982032636</v>
      </c>
    </row>
    <row r="11" spans="1:14" x14ac:dyDescent="0.25">
      <c r="A11" t="s">
        <v>32</v>
      </c>
      <c r="B11" t="s">
        <v>32</v>
      </c>
      <c r="C11" t="s">
        <v>0</v>
      </c>
      <c r="D11" t="s">
        <v>2</v>
      </c>
      <c r="E11" t="s">
        <v>5</v>
      </c>
      <c r="F11" t="s">
        <v>8</v>
      </c>
      <c r="G11">
        <v>7978.44</v>
      </c>
      <c r="H11">
        <v>457.22427045531299</v>
      </c>
      <c r="I11">
        <v>6453.9325489466</v>
      </c>
      <c r="J11">
        <v>2243.8609999999999</v>
      </c>
      <c r="K11">
        <f t="shared" si="0"/>
        <v>0.28124056833165378</v>
      </c>
      <c r="L11">
        <v>719.35268143320002</v>
      </c>
      <c r="M11">
        <f t="shared" si="1"/>
        <v>0.11145959087387915</v>
      </c>
      <c r="N11">
        <f t="shared" si="2"/>
        <v>19.638885774256089</v>
      </c>
    </row>
    <row r="12" spans="1:14" x14ac:dyDescent="0.25">
      <c r="A12" t="s">
        <v>32</v>
      </c>
      <c r="B12" t="s">
        <v>32</v>
      </c>
      <c r="C12" t="s">
        <v>0</v>
      </c>
      <c r="D12" t="s">
        <v>3</v>
      </c>
      <c r="E12" t="s">
        <v>5</v>
      </c>
      <c r="F12" t="s">
        <v>8</v>
      </c>
      <c r="G12">
        <v>7556.0211652114604</v>
      </c>
      <c r="H12">
        <v>1272.3978312961599</v>
      </c>
      <c r="I12">
        <v>6453.9325489466</v>
      </c>
      <c r="J12">
        <v>4418.9703012995897</v>
      </c>
      <c r="K12">
        <f t="shared" si="0"/>
        <v>0.58482767645555178</v>
      </c>
      <c r="L12">
        <v>3316.8816865263998</v>
      </c>
      <c r="M12">
        <f t="shared" si="1"/>
        <v>0.51393187972932497</v>
      </c>
      <c r="N12">
        <f t="shared" si="2"/>
        <v>7.0754993554377617</v>
      </c>
    </row>
    <row r="13" spans="1:14" x14ac:dyDescent="0.25">
      <c r="A13" t="s">
        <v>32</v>
      </c>
      <c r="B13" t="s">
        <v>32</v>
      </c>
      <c r="C13" t="s">
        <v>0</v>
      </c>
      <c r="D13" t="s">
        <v>17</v>
      </c>
      <c r="E13" t="s">
        <v>5</v>
      </c>
      <c r="F13" t="s">
        <v>8</v>
      </c>
      <c r="G13">
        <v>11906.7846352751</v>
      </c>
      <c r="H13">
        <v>2975.6930509164499</v>
      </c>
      <c r="I13">
        <v>6453.9325489466</v>
      </c>
      <c r="J13">
        <v>8339.1329567785106</v>
      </c>
      <c r="K13">
        <f t="shared" si="0"/>
        <v>0.70036816925981449</v>
      </c>
      <c r="L13">
        <v>2886.2861856775999</v>
      </c>
      <c r="M13">
        <f t="shared" si="1"/>
        <v>0.44721356533989415</v>
      </c>
      <c r="N13">
        <f t="shared" si="2"/>
        <v>6.5195295014384147</v>
      </c>
    </row>
    <row r="14" spans="1:14" x14ac:dyDescent="0.25">
      <c r="A14" t="s">
        <v>38</v>
      </c>
      <c r="B14" t="s">
        <v>38</v>
      </c>
      <c r="C14" t="s">
        <v>0</v>
      </c>
      <c r="D14" t="s">
        <v>1</v>
      </c>
      <c r="E14" t="s">
        <v>6</v>
      </c>
      <c r="F14" t="s">
        <v>7</v>
      </c>
      <c r="G14">
        <v>772.86699999999996</v>
      </c>
      <c r="H14">
        <v>153.568686462415</v>
      </c>
      <c r="I14">
        <v>862.73765253299996</v>
      </c>
      <c r="J14">
        <v>35.4106704955</v>
      </c>
      <c r="K14">
        <f t="shared" si="0"/>
        <v>4.5817288738553986E-2</v>
      </c>
      <c r="L14">
        <v>125.2815271756</v>
      </c>
      <c r="M14">
        <f t="shared" si="1"/>
        <v>0.14521393242519684</v>
      </c>
      <c r="N14">
        <f t="shared" si="2"/>
        <v>72.363858320323274</v>
      </c>
    </row>
    <row r="15" spans="1:14" x14ac:dyDescent="0.25">
      <c r="A15" t="s">
        <v>38</v>
      </c>
      <c r="B15" t="s">
        <v>38</v>
      </c>
      <c r="C15" t="s">
        <v>0</v>
      </c>
      <c r="D15" t="s">
        <v>2</v>
      </c>
      <c r="E15" t="s">
        <v>6</v>
      </c>
      <c r="F15" t="s">
        <v>7</v>
      </c>
      <c r="G15">
        <v>571.03899999999999</v>
      </c>
      <c r="H15">
        <v>124.128635948433</v>
      </c>
      <c r="I15">
        <v>862.73765253299996</v>
      </c>
      <c r="J15">
        <v>17.9677014743</v>
      </c>
      <c r="K15">
        <f t="shared" si="0"/>
        <v>3.1464928795231148E-2</v>
      </c>
      <c r="L15">
        <v>309.6663480716</v>
      </c>
      <c r="M15">
        <f t="shared" si="1"/>
        <v>0.35893454651297391</v>
      </c>
      <c r="N15">
        <f t="shared" si="2"/>
        <v>98.130272087847061</v>
      </c>
    </row>
    <row r="16" spans="1:14" x14ac:dyDescent="0.25">
      <c r="A16" t="s">
        <v>38</v>
      </c>
      <c r="B16" t="s">
        <v>38</v>
      </c>
      <c r="C16" t="s">
        <v>0</v>
      </c>
      <c r="D16" t="s">
        <v>3</v>
      </c>
      <c r="E16" t="s">
        <v>6</v>
      </c>
      <c r="F16" t="s">
        <v>7</v>
      </c>
      <c r="G16">
        <v>522.49612223410099</v>
      </c>
      <c r="H16">
        <v>95.9673313151294</v>
      </c>
      <c r="I16">
        <v>862.73765253299996</v>
      </c>
      <c r="J16">
        <v>12.9842788969579</v>
      </c>
      <c r="K16">
        <f t="shared" si="0"/>
        <v>2.4850478968991042E-2</v>
      </c>
      <c r="L16">
        <v>353.22580926249998</v>
      </c>
      <c r="M16">
        <f t="shared" si="1"/>
        <v>0.4094243577122525</v>
      </c>
      <c r="N16">
        <f t="shared" si="2"/>
        <v>123.16447283997667</v>
      </c>
    </row>
    <row r="17" spans="1:14" x14ac:dyDescent="0.25">
      <c r="A17" t="s">
        <v>38</v>
      </c>
      <c r="B17" t="s">
        <v>38</v>
      </c>
      <c r="C17" t="s">
        <v>0</v>
      </c>
      <c r="D17" t="s">
        <v>17</v>
      </c>
      <c r="E17" t="s">
        <v>6</v>
      </c>
      <c r="F17" t="s">
        <v>7</v>
      </c>
      <c r="G17">
        <v>241.72525916986001</v>
      </c>
      <c r="H17">
        <v>56.185148029702901</v>
      </c>
      <c r="I17">
        <v>862.73765253299996</v>
      </c>
      <c r="J17">
        <v>1.4895417024481501</v>
      </c>
      <c r="K17">
        <f t="shared" si="0"/>
        <v>6.1621268193633467E-3</v>
      </c>
      <c r="L17">
        <v>622.5019339319</v>
      </c>
      <c r="M17">
        <f t="shared" si="1"/>
        <v>0.72154255943766066</v>
      </c>
      <c r="N17">
        <f t="shared" si="2"/>
        <v>488.2308171739179</v>
      </c>
    </row>
    <row r="18" spans="1:14" x14ac:dyDescent="0.25">
      <c r="A18" t="s">
        <v>34</v>
      </c>
      <c r="B18" t="s">
        <v>34</v>
      </c>
      <c r="C18" t="s">
        <v>4</v>
      </c>
      <c r="D18" t="s">
        <v>1</v>
      </c>
      <c r="E18" t="s">
        <v>5</v>
      </c>
      <c r="F18" t="s">
        <v>7</v>
      </c>
      <c r="G18">
        <v>432.625</v>
      </c>
      <c r="H18">
        <v>51.225207496082298</v>
      </c>
      <c r="I18">
        <v>395.27068174779998</v>
      </c>
      <c r="J18">
        <v>86.299815217200006</v>
      </c>
      <c r="K18">
        <f t="shared" si="0"/>
        <v>0.19947949197850334</v>
      </c>
      <c r="L18">
        <v>48.945893724999998</v>
      </c>
      <c r="M18">
        <f t="shared" si="1"/>
        <v>0.1238287988083812</v>
      </c>
      <c r="N18">
        <f t="shared" si="2"/>
        <v>23.114805800538953</v>
      </c>
    </row>
    <row r="19" spans="1:14" x14ac:dyDescent="0.25">
      <c r="A19" t="s">
        <v>34</v>
      </c>
      <c r="B19" t="s">
        <v>34</v>
      </c>
      <c r="C19" t="s">
        <v>4</v>
      </c>
      <c r="D19" t="s">
        <v>2</v>
      </c>
      <c r="E19" t="s">
        <v>5</v>
      </c>
      <c r="F19" t="s">
        <v>7</v>
      </c>
      <c r="G19">
        <v>256.90899999999999</v>
      </c>
      <c r="H19">
        <v>46.211582282886802</v>
      </c>
      <c r="I19">
        <v>395.27068174779998</v>
      </c>
      <c r="J19">
        <v>17.698</v>
      </c>
      <c r="K19">
        <f t="shared" si="0"/>
        <v>6.8888205551382017E-2</v>
      </c>
      <c r="L19">
        <v>156.0595853902</v>
      </c>
      <c r="M19">
        <f t="shared" si="1"/>
        <v>0.3948170016054286</v>
      </c>
      <c r="N19">
        <f t="shared" si="2"/>
        <v>46.08163806752394</v>
      </c>
    </row>
    <row r="20" spans="1:14" x14ac:dyDescent="0.25">
      <c r="A20" t="s">
        <v>34</v>
      </c>
      <c r="B20" t="s">
        <v>34</v>
      </c>
      <c r="C20" t="s">
        <v>4</v>
      </c>
      <c r="D20" t="s">
        <v>3</v>
      </c>
      <c r="E20" t="s">
        <v>5</v>
      </c>
      <c r="F20" t="s">
        <v>7</v>
      </c>
      <c r="G20">
        <v>313.77731867004002</v>
      </c>
      <c r="H20">
        <v>70.264650662114803</v>
      </c>
      <c r="I20">
        <v>395.27068174779998</v>
      </c>
      <c r="J20">
        <v>50.307837876725898</v>
      </c>
      <c r="K20">
        <f t="shared" si="0"/>
        <v>0.16032974623519011</v>
      </c>
      <c r="L20">
        <v>131.80120069079999</v>
      </c>
      <c r="M20">
        <f t="shared" si="1"/>
        <v>0.33344542557015378</v>
      </c>
      <c r="N20">
        <f t="shared" si="2"/>
        <v>21.710428846394397</v>
      </c>
    </row>
    <row r="21" spans="1:14" x14ac:dyDescent="0.25">
      <c r="A21" t="s">
        <v>34</v>
      </c>
      <c r="B21" t="s">
        <v>34</v>
      </c>
      <c r="C21" t="s">
        <v>4</v>
      </c>
      <c r="D21" t="s">
        <v>17</v>
      </c>
      <c r="E21" t="s">
        <v>5</v>
      </c>
      <c r="F21" t="s">
        <v>7</v>
      </c>
      <c r="G21">
        <v>125.19723215842799</v>
      </c>
      <c r="H21">
        <v>16.674693011955899</v>
      </c>
      <c r="I21">
        <v>395.27068174779998</v>
      </c>
      <c r="J21">
        <v>1.27727883452605</v>
      </c>
      <c r="K21">
        <f t="shared" si="0"/>
        <v>1.0202133166248807E-2</v>
      </c>
      <c r="L21">
        <v>271.35072585789999</v>
      </c>
      <c r="M21">
        <f t="shared" si="1"/>
        <v>0.68649342940904901</v>
      </c>
      <c r="N21">
        <f t="shared" si="2"/>
        <v>295.51282811682404</v>
      </c>
    </row>
    <row r="22" spans="1:14" x14ac:dyDescent="0.25">
      <c r="A22" t="s">
        <v>33</v>
      </c>
      <c r="B22" t="s">
        <v>33</v>
      </c>
      <c r="C22" t="s">
        <v>4</v>
      </c>
      <c r="D22" t="s">
        <v>1</v>
      </c>
      <c r="E22" t="s">
        <v>5</v>
      </c>
      <c r="F22" t="s">
        <v>8</v>
      </c>
      <c r="G22">
        <v>221.82400000000001</v>
      </c>
      <c r="H22">
        <v>48.577084051206</v>
      </c>
      <c r="I22">
        <v>204.94175453529999</v>
      </c>
      <c r="J22">
        <v>21.954899554699999</v>
      </c>
      <c r="K22">
        <f t="shared" si="0"/>
        <v>9.8974410139119298E-2</v>
      </c>
      <c r="L22">
        <v>5.0725981907</v>
      </c>
      <c r="M22">
        <f t="shared" si="1"/>
        <v>2.4751413894167063E-2</v>
      </c>
      <c r="N22">
        <f t="shared" si="2"/>
        <v>70.712597532602516</v>
      </c>
    </row>
    <row r="23" spans="1:14" x14ac:dyDescent="0.25">
      <c r="A23" t="s">
        <v>33</v>
      </c>
      <c r="B23" t="s">
        <v>33</v>
      </c>
      <c r="C23" t="s">
        <v>4</v>
      </c>
      <c r="D23" t="s">
        <v>2</v>
      </c>
      <c r="E23" t="s">
        <v>5</v>
      </c>
      <c r="F23" t="s">
        <v>8</v>
      </c>
      <c r="G23">
        <v>137.23599999999999</v>
      </c>
      <c r="H23">
        <v>44.975794879893698</v>
      </c>
      <c r="I23">
        <v>204.94175453529999</v>
      </c>
      <c r="J23">
        <v>1.2776294049000001</v>
      </c>
      <c r="K23">
        <f t="shared" si="0"/>
        <v>9.3097248892418921E-3</v>
      </c>
      <c r="L23">
        <v>68.983544658900001</v>
      </c>
      <c r="M23">
        <f t="shared" si="1"/>
        <v>0.33660073231693738</v>
      </c>
      <c r="N23">
        <f t="shared" si="2"/>
        <v>325.21455799056946</v>
      </c>
    </row>
    <row r="24" spans="1:14" x14ac:dyDescent="0.25">
      <c r="A24" t="s">
        <v>33</v>
      </c>
      <c r="B24" t="s">
        <v>33</v>
      </c>
      <c r="C24" t="s">
        <v>4</v>
      </c>
      <c r="D24" t="s">
        <v>3</v>
      </c>
      <c r="E24" t="s">
        <v>5</v>
      </c>
      <c r="F24" t="s">
        <v>8</v>
      </c>
      <c r="G24">
        <v>86.062780373807698</v>
      </c>
      <c r="H24">
        <v>34.472396003035698</v>
      </c>
      <c r="I24">
        <v>204.94175453529999</v>
      </c>
      <c r="J24">
        <v>1.54234142737944</v>
      </c>
      <c r="K24">
        <f t="shared" si="0"/>
        <v>1.7921120148342726E-2</v>
      </c>
      <c r="L24">
        <v>120.42131558689999</v>
      </c>
      <c r="M24">
        <f t="shared" si="1"/>
        <v>0.58758799962434272</v>
      </c>
      <c r="N24">
        <f t="shared" si="2"/>
        <v>169.10212312616895</v>
      </c>
    </row>
    <row r="25" spans="1:14" x14ac:dyDescent="0.25">
      <c r="A25" t="s">
        <v>33</v>
      </c>
      <c r="B25" t="s">
        <v>33</v>
      </c>
      <c r="C25" t="s">
        <v>4</v>
      </c>
      <c r="D25" t="s">
        <v>17</v>
      </c>
      <c r="E25" t="s">
        <v>5</v>
      </c>
      <c r="F25" t="s">
        <v>8</v>
      </c>
      <c r="G25">
        <v>64.927865108461603</v>
      </c>
      <c r="H25">
        <v>16.2812080120815</v>
      </c>
      <c r="I25">
        <v>204.94175453529999</v>
      </c>
      <c r="J25">
        <v>0.1</v>
      </c>
      <c r="K25">
        <f t="shared" si="0"/>
        <v>1.5401707700222489E-3</v>
      </c>
      <c r="L25">
        <v>140.01388942689999</v>
      </c>
      <c r="M25">
        <f t="shared" si="1"/>
        <v>0.68318869302342899</v>
      </c>
      <c r="N25">
        <f t="shared" si="2"/>
        <v>1949.2996777127153</v>
      </c>
    </row>
    <row r="26" spans="1:14" x14ac:dyDescent="0.25">
      <c r="A26" t="s">
        <v>37</v>
      </c>
      <c r="B26" t="s">
        <v>37</v>
      </c>
      <c r="C26" t="s">
        <v>4</v>
      </c>
      <c r="D26" t="s">
        <v>1</v>
      </c>
      <c r="E26" t="s">
        <v>6</v>
      </c>
      <c r="F26" t="s">
        <v>8</v>
      </c>
      <c r="G26">
        <v>40.707000000000001</v>
      </c>
      <c r="H26">
        <v>5.0611040418585098</v>
      </c>
      <c r="I26">
        <v>98.881779872500005</v>
      </c>
      <c r="J26">
        <v>0.24139500999999999</v>
      </c>
      <c r="K26">
        <f t="shared" si="0"/>
        <v>5.9300614144987343E-3</v>
      </c>
      <c r="L26">
        <v>58.415988204599998</v>
      </c>
      <c r="M26">
        <f t="shared" si="1"/>
        <v>0.59076594575788033</v>
      </c>
      <c r="N26">
        <f t="shared" si="2"/>
        <v>507.589670628134</v>
      </c>
    </row>
    <row r="27" spans="1:14" x14ac:dyDescent="0.25">
      <c r="A27" t="s">
        <v>37</v>
      </c>
      <c r="B27" t="s">
        <v>37</v>
      </c>
      <c r="C27" t="s">
        <v>4</v>
      </c>
      <c r="D27" t="s">
        <v>2</v>
      </c>
      <c r="E27" t="s">
        <v>6</v>
      </c>
      <c r="F27" t="s">
        <v>8</v>
      </c>
      <c r="G27">
        <v>50.201000000000001</v>
      </c>
      <c r="H27">
        <v>8.2086198548282905</v>
      </c>
      <c r="I27">
        <v>98.881779872500005</v>
      </c>
      <c r="J27">
        <v>1.0978280827</v>
      </c>
      <c r="K27">
        <f t="shared" si="0"/>
        <v>2.1868649682277246E-2</v>
      </c>
      <c r="L27">
        <v>49.778400023499998</v>
      </c>
      <c r="M27">
        <f t="shared" si="1"/>
        <v>0.50341326873044956</v>
      </c>
      <c r="N27">
        <f t="shared" si="2"/>
        <v>139.1691208043581</v>
      </c>
    </row>
    <row r="28" spans="1:14" x14ac:dyDescent="0.25">
      <c r="A28" t="s">
        <v>37</v>
      </c>
      <c r="B28" t="s">
        <v>37</v>
      </c>
      <c r="C28" t="s">
        <v>4</v>
      </c>
      <c r="D28" t="s">
        <v>3</v>
      </c>
      <c r="E28" t="s">
        <v>6</v>
      </c>
      <c r="F28" t="s">
        <v>8</v>
      </c>
      <c r="G28">
        <v>68.3209147488881</v>
      </c>
      <c r="H28">
        <v>9.52721763015977</v>
      </c>
      <c r="I28">
        <v>98.881779872500005</v>
      </c>
      <c r="J28">
        <v>2.4588645870768899</v>
      </c>
      <c r="K28">
        <f t="shared" si="0"/>
        <v>3.5989924843869384E-2</v>
      </c>
      <c r="L28">
        <v>33.019729698699997</v>
      </c>
      <c r="M28">
        <f t="shared" si="1"/>
        <v>0.33393138494550006</v>
      </c>
      <c r="N28">
        <f t="shared" si="2"/>
        <v>86.351289158059174</v>
      </c>
    </row>
    <row r="29" spans="1:14" x14ac:dyDescent="0.25">
      <c r="A29" t="s">
        <v>37</v>
      </c>
      <c r="B29" t="s">
        <v>37</v>
      </c>
      <c r="C29" t="s">
        <v>4</v>
      </c>
      <c r="D29" t="s">
        <v>17</v>
      </c>
      <c r="E29" t="s">
        <v>6</v>
      </c>
      <c r="F29" t="s">
        <v>8</v>
      </c>
      <c r="G29">
        <v>39.429989712566801</v>
      </c>
      <c r="H29">
        <v>5.6633191585853702</v>
      </c>
      <c r="I29">
        <v>98.881779872500005</v>
      </c>
      <c r="J29">
        <v>0.1</v>
      </c>
      <c r="K29">
        <f t="shared" si="0"/>
        <v>2.5361406566162211E-3</v>
      </c>
      <c r="L29">
        <v>59.451789936499999</v>
      </c>
      <c r="M29">
        <f t="shared" si="1"/>
        <v>0.60124109834145623</v>
      </c>
      <c r="N29">
        <f t="shared" si="2"/>
        <v>1184.5629176646919</v>
      </c>
    </row>
    <row r="30" spans="1:14" x14ac:dyDescent="0.25">
      <c r="A30" t="s">
        <v>35</v>
      </c>
      <c r="B30" t="s">
        <v>35</v>
      </c>
      <c r="C30" t="s">
        <v>0</v>
      </c>
      <c r="D30" t="s">
        <v>1</v>
      </c>
      <c r="E30" t="s">
        <v>6</v>
      </c>
      <c r="F30" t="s">
        <v>8</v>
      </c>
      <c r="G30">
        <v>564.04</v>
      </c>
      <c r="H30">
        <v>85.386902901866407</v>
      </c>
      <c r="I30">
        <v>822.65714609899999</v>
      </c>
      <c r="J30">
        <v>10.403989208300001</v>
      </c>
      <c r="K30">
        <f t="shared" si="0"/>
        <v>1.8445481186263386E-2</v>
      </c>
      <c r="L30">
        <v>269.0213331631</v>
      </c>
      <c r="M30">
        <f t="shared" si="1"/>
        <v>0.32701512949688216</v>
      </c>
      <c r="N30">
        <f t="shared" si="2"/>
        <v>165.69942300408502</v>
      </c>
    </row>
    <row r="31" spans="1:14" x14ac:dyDescent="0.25">
      <c r="A31" t="s">
        <v>35</v>
      </c>
      <c r="B31" t="s">
        <v>35</v>
      </c>
      <c r="C31" t="s">
        <v>0</v>
      </c>
      <c r="D31" t="s">
        <v>2</v>
      </c>
      <c r="E31" t="s">
        <v>6</v>
      </c>
      <c r="F31" t="s">
        <v>8</v>
      </c>
      <c r="G31">
        <v>551.28899999999999</v>
      </c>
      <c r="H31">
        <v>121.34712362248</v>
      </c>
      <c r="I31">
        <v>822.65714609899999</v>
      </c>
      <c r="J31">
        <v>15.0388884306</v>
      </c>
      <c r="K31">
        <f t="shared" si="0"/>
        <v>2.727950028134064E-2</v>
      </c>
      <c r="L31">
        <v>286.40719746730002</v>
      </c>
      <c r="M31">
        <f t="shared" si="1"/>
        <v>0.34814892063532049</v>
      </c>
      <c r="N31">
        <f t="shared" si="2"/>
        <v>112.84502303337545</v>
      </c>
    </row>
    <row r="32" spans="1:14" x14ac:dyDescent="0.25">
      <c r="A32" t="s">
        <v>35</v>
      </c>
      <c r="B32" t="s">
        <v>35</v>
      </c>
      <c r="C32" t="s">
        <v>0</v>
      </c>
      <c r="D32" t="s">
        <v>3</v>
      </c>
      <c r="E32" t="s">
        <v>6</v>
      </c>
      <c r="F32" t="s">
        <v>8</v>
      </c>
      <c r="G32">
        <v>509.49457331827102</v>
      </c>
      <c r="H32">
        <v>90.462308461639907</v>
      </c>
      <c r="I32">
        <v>822.65714609899999</v>
      </c>
      <c r="J32">
        <v>44.118936696665799</v>
      </c>
      <c r="K32">
        <f t="shared" si="0"/>
        <v>8.6593536039697105E-2</v>
      </c>
      <c r="L32">
        <v>357.28150948230001</v>
      </c>
      <c r="M32">
        <f t="shared" si="1"/>
        <v>0.43430183664788119</v>
      </c>
      <c r="N32">
        <f t="shared" si="2"/>
        <v>36.947164360946708</v>
      </c>
    </row>
    <row r="33" spans="1:14" x14ac:dyDescent="0.25">
      <c r="A33" t="s">
        <v>35</v>
      </c>
      <c r="B33" t="s">
        <v>35</v>
      </c>
      <c r="C33" t="s">
        <v>0</v>
      </c>
      <c r="D33" t="s">
        <v>17</v>
      </c>
      <c r="E33" t="s">
        <v>6</v>
      </c>
      <c r="F33" t="s">
        <v>8</v>
      </c>
      <c r="G33">
        <v>379.63052589983101</v>
      </c>
      <c r="H33">
        <v>65.220594802305101</v>
      </c>
      <c r="I33">
        <v>822.65714609899999</v>
      </c>
      <c r="J33">
        <v>13.9426183662789</v>
      </c>
      <c r="K33">
        <f t="shared" si="0"/>
        <v>3.6726810451374999E-2</v>
      </c>
      <c r="L33">
        <v>456.9692642599</v>
      </c>
      <c r="M33">
        <f t="shared" si="1"/>
        <v>0.55547960219737458</v>
      </c>
      <c r="N33">
        <f t="shared" si="2"/>
        <v>83.484442575469259</v>
      </c>
    </row>
    <row r="34" spans="1:14" x14ac:dyDescent="0.25">
      <c r="A34" t="s">
        <v>36</v>
      </c>
      <c r="B34" t="s">
        <v>36</v>
      </c>
      <c r="C34" t="s">
        <v>0</v>
      </c>
      <c r="D34" t="s">
        <v>1</v>
      </c>
      <c r="E34" t="s">
        <v>6</v>
      </c>
      <c r="F34" t="s">
        <v>8</v>
      </c>
      <c r="G34">
        <v>208.143</v>
      </c>
      <c r="H34">
        <v>85.123388675772205</v>
      </c>
      <c r="I34">
        <v>447.96699999999998</v>
      </c>
      <c r="J34">
        <v>1.841</v>
      </c>
      <c r="K34">
        <f t="shared" ref="K34:K65" si="3">J34/G34</f>
        <v>8.8448806829919818E-3</v>
      </c>
      <c r="L34">
        <v>241.66499999999999</v>
      </c>
      <c r="M34">
        <f t="shared" ref="M34:M65" si="4">L34/I34</f>
        <v>0.53947054135684103</v>
      </c>
      <c r="N34">
        <f t="shared" ref="N34:N65" si="5">(3*(1/K34))+(1/M34)</f>
        <v>341.03291974303784</v>
      </c>
    </row>
    <row r="35" spans="1:14" x14ac:dyDescent="0.25">
      <c r="A35" t="s">
        <v>36</v>
      </c>
      <c r="B35" t="s">
        <v>36</v>
      </c>
      <c r="C35" t="s">
        <v>0</v>
      </c>
      <c r="D35" t="s">
        <v>2</v>
      </c>
      <c r="E35" t="s">
        <v>6</v>
      </c>
      <c r="F35" t="s">
        <v>8</v>
      </c>
      <c r="G35">
        <v>298.00299999999999</v>
      </c>
      <c r="H35">
        <v>125.095844659782</v>
      </c>
      <c r="I35">
        <v>447.96699999999998</v>
      </c>
      <c r="J35">
        <v>2.8589049277999998</v>
      </c>
      <c r="K35">
        <f t="shared" si="3"/>
        <v>9.5935441180122344E-3</v>
      </c>
      <c r="L35">
        <v>152.82300000000001</v>
      </c>
      <c r="M35">
        <f t="shared" si="4"/>
        <v>0.34114789705491699</v>
      </c>
      <c r="N35">
        <f t="shared" si="5"/>
        <v>315.64157380596072</v>
      </c>
    </row>
    <row r="36" spans="1:14" x14ac:dyDescent="0.25">
      <c r="A36" t="s">
        <v>36</v>
      </c>
      <c r="B36" t="s">
        <v>36</v>
      </c>
      <c r="C36" t="s">
        <v>0</v>
      </c>
      <c r="D36" t="s">
        <v>3</v>
      </c>
      <c r="E36" t="s">
        <v>6</v>
      </c>
      <c r="F36" t="s">
        <v>8</v>
      </c>
      <c r="G36">
        <v>426.17313843881197</v>
      </c>
      <c r="H36">
        <v>107.34307927191399</v>
      </c>
      <c r="I36">
        <v>447.96699999999998</v>
      </c>
      <c r="J36">
        <v>14.6417082510235</v>
      </c>
      <c r="K36">
        <f t="shared" si="3"/>
        <v>3.4356243813629492E-2</v>
      </c>
      <c r="L36">
        <v>36.436</v>
      </c>
      <c r="M36">
        <f t="shared" si="4"/>
        <v>8.1336348436380365E-2</v>
      </c>
      <c r="N36">
        <f t="shared" si="5"/>
        <v>99.614998475371038</v>
      </c>
    </row>
    <row r="37" spans="1:14" x14ac:dyDescent="0.25">
      <c r="A37" t="s">
        <v>36</v>
      </c>
      <c r="B37" t="s">
        <v>36</v>
      </c>
      <c r="C37" t="s">
        <v>0</v>
      </c>
      <c r="D37" t="s">
        <v>17</v>
      </c>
      <c r="E37" t="s">
        <v>6</v>
      </c>
      <c r="F37" t="s">
        <v>8</v>
      </c>
      <c r="G37">
        <v>198.80340086591099</v>
      </c>
      <c r="H37">
        <v>48.176654846713703</v>
      </c>
      <c r="I37">
        <v>447.96699999999998</v>
      </c>
      <c r="J37">
        <v>0.439741901347041</v>
      </c>
      <c r="K37">
        <f t="shared" si="3"/>
        <v>2.2119435554507354E-3</v>
      </c>
      <c r="L37">
        <v>249.60300000000001</v>
      </c>
      <c r="M37">
        <f t="shared" si="4"/>
        <v>0.55719059662876957</v>
      </c>
      <c r="N37">
        <f t="shared" si="5"/>
        <v>1358.0680246286011</v>
      </c>
    </row>
    <row r="38" spans="1:14" x14ac:dyDescent="0.25">
      <c r="A38" t="s">
        <v>24</v>
      </c>
      <c r="B38" t="s">
        <v>24</v>
      </c>
      <c r="C38" t="s">
        <v>4</v>
      </c>
      <c r="D38" t="s">
        <v>1</v>
      </c>
      <c r="E38" t="s">
        <v>5</v>
      </c>
      <c r="F38" t="s">
        <v>8</v>
      </c>
      <c r="G38">
        <v>168.381</v>
      </c>
      <c r="H38">
        <v>6.0546280897967497</v>
      </c>
      <c r="I38">
        <v>152.406954259945</v>
      </c>
      <c r="J38">
        <v>48.237000000000002</v>
      </c>
      <c r="K38">
        <f t="shared" si="3"/>
        <v>0.28647531491082723</v>
      </c>
      <c r="L38">
        <v>32.262746398482903</v>
      </c>
      <c r="M38">
        <f t="shared" si="4"/>
        <v>0.21168815133891875</v>
      </c>
      <c r="N38">
        <f t="shared" si="5"/>
        <v>15.196036432927777</v>
      </c>
    </row>
    <row r="39" spans="1:14" x14ac:dyDescent="0.25">
      <c r="A39" t="s">
        <v>24</v>
      </c>
      <c r="B39" t="s">
        <v>24</v>
      </c>
      <c r="C39" t="s">
        <v>4</v>
      </c>
      <c r="D39" t="s">
        <v>2</v>
      </c>
      <c r="E39" t="s">
        <v>5</v>
      </c>
      <c r="F39" t="s">
        <v>8</v>
      </c>
      <c r="G39">
        <v>161.65199999999999</v>
      </c>
      <c r="H39">
        <v>11.9662943623399</v>
      </c>
      <c r="I39">
        <v>152.406954259945</v>
      </c>
      <c r="J39">
        <v>50.993000000000002</v>
      </c>
      <c r="K39">
        <f t="shared" si="3"/>
        <v>0.31544923663177693</v>
      </c>
      <c r="L39">
        <v>41.747721686078101</v>
      </c>
      <c r="M39">
        <f t="shared" si="4"/>
        <v>0.27392268212953896</v>
      </c>
      <c r="N39">
        <f t="shared" si="5"/>
        <v>13.160911692955544</v>
      </c>
    </row>
    <row r="40" spans="1:14" x14ac:dyDescent="0.25">
      <c r="A40" t="s">
        <v>24</v>
      </c>
      <c r="B40" t="s">
        <v>24</v>
      </c>
      <c r="C40" t="s">
        <v>4</v>
      </c>
      <c r="D40" t="s">
        <v>3</v>
      </c>
      <c r="E40" t="s">
        <v>5</v>
      </c>
      <c r="F40" t="s">
        <v>8</v>
      </c>
      <c r="G40">
        <v>200.70359305062499</v>
      </c>
      <c r="H40">
        <v>27.487015313139</v>
      </c>
      <c r="I40">
        <v>152.406954259945</v>
      </c>
      <c r="J40">
        <v>115.47809651038099</v>
      </c>
      <c r="K40">
        <f t="shared" si="3"/>
        <v>0.5753663636766736</v>
      </c>
      <c r="L40">
        <v>67.181458072858703</v>
      </c>
      <c r="M40">
        <f t="shared" si="4"/>
        <v>0.44080310113850935</v>
      </c>
      <c r="N40">
        <f t="shared" si="5"/>
        <v>7.4826557189509932</v>
      </c>
    </row>
    <row r="41" spans="1:14" x14ac:dyDescent="0.25">
      <c r="A41" t="s">
        <v>24</v>
      </c>
      <c r="B41" t="s">
        <v>24</v>
      </c>
      <c r="C41" t="s">
        <v>4</v>
      </c>
      <c r="D41" t="s">
        <v>17</v>
      </c>
      <c r="E41" t="s">
        <v>5</v>
      </c>
      <c r="F41" t="s">
        <v>8</v>
      </c>
      <c r="G41">
        <v>91.516886037456899</v>
      </c>
      <c r="H41">
        <v>16.398872146627301</v>
      </c>
      <c r="I41">
        <v>152.406954259945</v>
      </c>
      <c r="J41">
        <v>30.107658014146502</v>
      </c>
      <c r="K41">
        <f t="shared" si="3"/>
        <v>0.32898472967954517</v>
      </c>
      <c r="L41">
        <v>90.997372404949303</v>
      </c>
      <c r="M41">
        <f t="shared" si="4"/>
        <v>0.59706837425373893</v>
      </c>
      <c r="N41">
        <f t="shared" si="5"/>
        <v>10.793814340123687</v>
      </c>
    </row>
    <row r="42" spans="1:14" x14ac:dyDescent="0.25">
      <c r="A42" t="s">
        <v>24</v>
      </c>
      <c r="B42" t="s">
        <v>25</v>
      </c>
      <c r="C42" t="s">
        <v>4</v>
      </c>
      <c r="D42" t="s">
        <v>1</v>
      </c>
      <c r="E42" t="s">
        <v>5</v>
      </c>
      <c r="F42" t="s">
        <v>8</v>
      </c>
      <c r="G42">
        <v>168.85900000000001</v>
      </c>
      <c r="H42">
        <v>17.858152218410801</v>
      </c>
      <c r="I42">
        <v>139.7199659389</v>
      </c>
      <c r="J42">
        <v>60.023000000000003</v>
      </c>
      <c r="K42">
        <f t="shared" si="3"/>
        <v>0.35546224956916717</v>
      </c>
      <c r="L42">
        <v>29.1213858114</v>
      </c>
      <c r="M42">
        <f t="shared" si="4"/>
        <v>0.20842680296769381</v>
      </c>
      <c r="N42">
        <f t="shared" si="5"/>
        <v>13.237562201388606</v>
      </c>
    </row>
    <row r="43" spans="1:14" x14ac:dyDescent="0.25">
      <c r="A43" t="s">
        <v>24</v>
      </c>
      <c r="B43" t="s">
        <v>25</v>
      </c>
      <c r="C43" t="s">
        <v>4</v>
      </c>
      <c r="D43" t="s">
        <v>2</v>
      </c>
      <c r="E43" t="s">
        <v>5</v>
      </c>
      <c r="F43" t="s">
        <v>8</v>
      </c>
      <c r="G43">
        <v>129.642</v>
      </c>
      <c r="H43">
        <v>24.191878222112901</v>
      </c>
      <c r="I43">
        <v>139.7199659389</v>
      </c>
      <c r="J43">
        <v>37.427187202799999</v>
      </c>
      <c r="K43">
        <f t="shared" si="3"/>
        <v>0.28869646567316148</v>
      </c>
      <c r="L43">
        <v>40.691342398700002</v>
      </c>
      <c r="M43">
        <f t="shared" si="4"/>
        <v>0.29123498653366736</v>
      </c>
      <c r="N43">
        <f t="shared" si="5"/>
        <v>13.825190377459851</v>
      </c>
    </row>
    <row r="44" spans="1:14" x14ac:dyDescent="0.25">
      <c r="A44" t="s">
        <v>24</v>
      </c>
      <c r="B44" t="s">
        <v>25</v>
      </c>
      <c r="C44" t="s">
        <v>4</v>
      </c>
      <c r="D44" t="s">
        <v>3</v>
      </c>
      <c r="E44" t="s">
        <v>5</v>
      </c>
      <c r="F44" t="s">
        <v>8</v>
      </c>
      <c r="G44">
        <v>161.99684296442101</v>
      </c>
      <c r="H44">
        <v>29.305091090411899</v>
      </c>
      <c r="I44">
        <v>139.7199659389</v>
      </c>
      <c r="J44">
        <v>96.054284969250503</v>
      </c>
      <c r="K44">
        <f t="shared" si="3"/>
        <v>0.59293924012054167</v>
      </c>
      <c r="L44">
        <v>71.322263585200005</v>
      </c>
      <c r="M44">
        <f t="shared" si="4"/>
        <v>0.51046579567868966</v>
      </c>
      <c r="N44">
        <f t="shared" si="5"/>
        <v>7.01853544709767</v>
      </c>
    </row>
    <row r="45" spans="1:14" x14ac:dyDescent="0.25">
      <c r="A45" t="s">
        <v>24</v>
      </c>
      <c r="B45" t="s">
        <v>25</v>
      </c>
      <c r="C45" t="s">
        <v>4</v>
      </c>
      <c r="D45" t="s">
        <v>17</v>
      </c>
      <c r="E45" t="s">
        <v>5</v>
      </c>
      <c r="F45" t="s">
        <v>8</v>
      </c>
      <c r="G45">
        <v>64.363807799893294</v>
      </c>
      <c r="H45">
        <v>25.600216394752</v>
      </c>
      <c r="I45">
        <v>139.7199659389</v>
      </c>
      <c r="J45">
        <v>17.436047732234702</v>
      </c>
      <c r="K45">
        <f t="shared" si="3"/>
        <v>0.27089832513395218</v>
      </c>
      <c r="L45">
        <v>92.792023724299995</v>
      </c>
      <c r="M45">
        <f t="shared" si="4"/>
        <v>0.66412858821392962</v>
      </c>
      <c r="N45">
        <f t="shared" si="5"/>
        <v>12.579998089275124</v>
      </c>
    </row>
    <row r="46" spans="1:14" x14ac:dyDescent="0.25">
      <c r="A46" t="s">
        <v>26</v>
      </c>
      <c r="B46" t="s">
        <v>26</v>
      </c>
      <c r="C46" t="s">
        <v>4</v>
      </c>
      <c r="D46" t="s">
        <v>1</v>
      </c>
      <c r="E46" t="s">
        <v>5</v>
      </c>
      <c r="F46" t="s">
        <v>8</v>
      </c>
      <c r="G46">
        <v>62.252000000000002</v>
      </c>
      <c r="H46">
        <v>2.5243957367189198</v>
      </c>
      <c r="I46">
        <v>45.938416942700002</v>
      </c>
      <c r="J46">
        <v>22.776</v>
      </c>
      <c r="K46">
        <f t="shared" si="3"/>
        <v>0.36586776328471371</v>
      </c>
      <c r="L46">
        <v>6.4619832055000002</v>
      </c>
      <c r="M46">
        <f t="shared" si="4"/>
        <v>0.14066621437042931</v>
      </c>
      <c r="N46">
        <f t="shared" si="5"/>
        <v>15.308711475299958</v>
      </c>
    </row>
    <row r="47" spans="1:14" x14ac:dyDescent="0.25">
      <c r="A47" t="s">
        <v>26</v>
      </c>
      <c r="B47" t="s">
        <v>26</v>
      </c>
      <c r="C47" t="s">
        <v>4</v>
      </c>
      <c r="D47" t="s">
        <v>2</v>
      </c>
      <c r="E47" t="s">
        <v>5</v>
      </c>
      <c r="F47" t="s">
        <v>8</v>
      </c>
      <c r="G47">
        <v>28.417999999999999</v>
      </c>
      <c r="H47">
        <v>1.5425220786404199</v>
      </c>
      <c r="I47">
        <v>45.938416942700002</v>
      </c>
      <c r="J47">
        <v>3.6827475936999998</v>
      </c>
      <c r="K47">
        <f t="shared" si="3"/>
        <v>0.12959207522344993</v>
      </c>
      <c r="L47">
        <v>21.203550831800001</v>
      </c>
      <c r="M47">
        <f t="shared" si="4"/>
        <v>0.46156468252372862</v>
      </c>
      <c r="N47">
        <f t="shared" si="5"/>
        <v>25.316107277610779</v>
      </c>
    </row>
    <row r="48" spans="1:14" x14ac:dyDescent="0.25">
      <c r="A48" t="s">
        <v>26</v>
      </c>
      <c r="B48" t="s">
        <v>26</v>
      </c>
      <c r="C48" t="s">
        <v>4</v>
      </c>
      <c r="D48" t="s">
        <v>3</v>
      </c>
      <c r="E48" t="s">
        <v>5</v>
      </c>
      <c r="F48" t="s">
        <v>8</v>
      </c>
      <c r="G48">
        <v>55.333416810551299</v>
      </c>
      <c r="H48">
        <v>6.9300394110428902</v>
      </c>
      <c r="I48">
        <v>45.938416942700002</v>
      </c>
      <c r="J48">
        <v>24.328563359374201</v>
      </c>
      <c r="K48">
        <f t="shared" si="3"/>
        <v>0.43967216849574864</v>
      </c>
      <c r="L48">
        <v>14.933563557099999</v>
      </c>
      <c r="M48">
        <f t="shared" si="4"/>
        <v>0.325077887984842</v>
      </c>
      <c r="N48">
        <f t="shared" si="5"/>
        <v>9.8994514921959684</v>
      </c>
    </row>
    <row r="49" spans="1:14" x14ac:dyDescent="0.25">
      <c r="A49" t="s">
        <v>26</v>
      </c>
      <c r="B49" t="s">
        <v>26</v>
      </c>
      <c r="C49" t="s">
        <v>4</v>
      </c>
      <c r="D49" t="s">
        <v>17</v>
      </c>
      <c r="E49" t="s">
        <v>5</v>
      </c>
      <c r="F49" t="s">
        <v>8</v>
      </c>
      <c r="G49">
        <v>15.517963353270201</v>
      </c>
      <c r="H49">
        <v>2.9922358299165901</v>
      </c>
      <c r="I49">
        <v>45.938416942700002</v>
      </c>
      <c r="J49">
        <v>2.4994377343360199</v>
      </c>
      <c r="K49">
        <f t="shared" si="3"/>
        <v>0.16106738219672992</v>
      </c>
      <c r="L49">
        <v>32.919855442699998</v>
      </c>
      <c r="M49">
        <f t="shared" si="4"/>
        <v>0.71660839953979383</v>
      </c>
      <c r="N49">
        <f t="shared" si="5"/>
        <v>20.02120736312699</v>
      </c>
    </row>
    <row r="50" spans="1:14" x14ac:dyDescent="0.25">
      <c r="A50" t="s">
        <v>26</v>
      </c>
      <c r="B50" t="s">
        <v>26</v>
      </c>
      <c r="C50" t="s">
        <v>0</v>
      </c>
      <c r="D50" t="s">
        <v>1</v>
      </c>
      <c r="E50" t="s">
        <v>5</v>
      </c>
      <c r="F50" t="s">
        <v>8</v>
      </c>
      <c r="G50">
        <v>1635.1579999999999</v>
      </c>
      <c r="H50">
        <v>160.96890218010299</v>
      </c>
      <c r="I50">
        <v>1113.5016274808299</v>
      </c>
      <c r="J50">
        <v>788.18299999999999</v>
      </c>
      <c r="K50">
        <f t="shared" si="3"/>
        <v>0.48202253237913401</v>
      </c>
      <c r="L50">
        <v>266.52667624599002</v>
      </c>
      <c r="M50">
        <f t="shared" si="4"/>
        <v>0.23935903609676454</v>
      </c>
      <c r="N50">
        <f t="shared" si="5"/>
        <v>10.401599753751112</v>
      </c>
    </row>
    <row r="51" spans="1:14" x14ac:dyDescent="0.25">
      <c r="A51" t="s">
        <v>26</v>
      </c>
      <c r="B51" t="s">
        <v>26</v>
      </c>
      <c r="C51" t="s">
        <v>0</v>
      </c>
      <c r="D51" t="s">
        <v>2</v>
      </c>
      <c r="E51" t="s">
        <v>5</v>
      </c>
      <c r="F51" t="s">
        <v>8</v>
      </c>
      <c r="G51">
        <v>1214.26</v>
      </c>
      <c r="H51">
        <v>142.26381383042599</v>
      </c>
      <c r="I51">
        <v>1113.5016274808299</v>
      </c>
      <c r="J51">
        <v>475.66699999999997</v>
      </c>
      <c r="K51">
        <f t="shared" si="3"/>
        <v>0.39173406025068763</v>
      </c>
      <c r="L51">
        <v>374.90785286148798</v>
      </c>
      <c r="M51">
        <f t="shared" si="4"/>
        <v>0.33669268513749201</v>
      </c>
      <c r="N51">
        <f t="shared" si="5"/>
        <v>10.628324216818607</v>
      </c>
    </row>
    <row r="52" spans="1:14" x14ac:dyDescent="0.25">
      <c r="A52" t="s">
        <v>26</v>
      </c>
      <c r="B52" t="s">
        <v>26</v>
      </c>
      <c r="C52" t="s">
        <v>0</v>
      </c>
      <c r="D52" t="s">
        <v>3</v>
      </c>
      <c r="E52" t="s">
        <v>5</v>
      </c>
      <c r="F52" t="s">
        <v>8</v>
      </c>
      <c r="G52">
        <v>2137.5639444122498</v>
      </c>
      <c r="H52">
        <v>235.911912040337</v>
      </c>
      <c r="I52">
        <v>1113.5016274808299</v>
      </c>
      <c r="J52">
        <v>1432.1891802447401</v>
      </c>
      <c r="K52">
        <f t="shared" si="3"/>
        <v>0.67000998215215435</v>
      </c>
      <c r="L52">
        <v>408.12686355891299</v>
      </c>
      <c r="M52">
        <f t="shared" si="4"/>
        <v>0.36652561027885816</v>
      </c>
      <c r="N52">
        <f t="shared" si="5"/>
        <v>7.2058675413313811</v>
      </c>
    </row>
    <row r="53" spans="1:14" x14ac:dyDescent="0.25">
      <c r="A53" t="s">
        <v>26</v>
      </c>
      <c r="B53" t="s">
        <v>26</v>
      </c>
      <c r="C53" t="s">
        <v>0</v>
      </c>
      <c r="D53" t="s">
        <v>17</v>
      </c>
      <c r="E53" t="s">
        <v>5</v>
      </c>
      <c r="F53" t="s">
        <v>8</v>
      </c>
      <c r="G53">
        <v>2065.2211908081699</v>
      </c>
      <c r="H53">
        <v>126.930048747312</v>
      </c>
      <c r="I53">
        <v>1113.5016274808299</v>
      </c>
      <c r="J53">
        <v>1449.74963834657</v>
      </c>
      <c r="K53">
        <f t="shared" si="3"/>
        <v>0.70198274393032378</v>
      </c>
      <c r="L53">
        <v>498.02845346907299</v>
      </c>
      <c r="M53">
        <f t="shared" si="4"/>
        <v>0.44726333682673225</v>
      </c>
      <c r="N53">
        <f t="shared" si="5"/>
        <v>6.5094286228845935</v>
      </c>
    </row>
    <row r="54" spans="1:14" x14ac:dyDescent="0.25">
      <c r="A54" t="s">
        <v>27</v>
      </c>
      <c r="B54" t="s">
        <v>27</v>
      </c>
      <c r="C54" t="s">
        <v>4</v>
      </c>
      <c r="D54" t="s">
        <v>1</v>
      </c>
      <c r="E54" t="s">
        <v>5</v>
      </c>
      <c r="F54" t="s">
        <v>8</v>
      </c>
      <c r="G54">
        <v>276.26400000000001</v>
      </c>
      <c r="H54">
        <v>4.7795373384842597</v>
      </c>
      <c r="I54">
        <v>169.69490048360001</v>
      </c>
      <c r="J54">
        <v>126.66200000000001</v>
      </c>
      <c r="K54">
        <f t="shared" si="3"/>
        <v>0.45848174210175774</v>
      </c>
      <c r="L54">
        <v>20.092274843999999</v>
      </c>
      <c r="M54">
        <f t="shared" si="4"/>
        <v>0.11840234907908619</v>
      </c>
      <c r="N54">
        <f t="shared" si="5"/>
        <v>14.989114187164772</v>
      </c>
    </row>
    <row r="55" spans="1:14" x14ac:dyDescent="0.25">
      <c r="A55" t="s">
        <v>27</v>
      </c>
      <c r="B55" t="s">
        <v>27</v>
      </c>
      <c r="C55" t="s">
        <v>4</v>
      </c>
      <c r="D55" t="s">
        <v>2</v>
      </c>
      <c r="E55" t="s">
        <v>5</v>
      </c>
      <c r="F55" t="s">
        <v>8</v>
      </c>
      <c r="G55">
        <v>51.12</v>
      </c>
      <c r="H55">
        <v>4.6076206343690096</v>
      </c>
      <c r="I55">
        <v>169.69490048360001</v>
      </c>
      <c r="J55">
        <v>11.1491863366</v>
      </c>
      <c r="K55">
        <f t="shared" si="3"/>
        <v>0.2180983242683881</v>
      </c>
      <c r="L55">
        <v>129.72365408350001</v>
      </c>
      <c r="M55">
        <f t="shared" si="4"/>
        <v>0.76445228297262247</v>
      </c>
      <c r="N55">
        <f t="shared" si="5"/>
        <v>15.06338999188703</v>
      </c>
    </row>
    <row r="56" spans="1:14" x14ac:dyDescent="0.25">
      <c r="A56" t="s">
        <v>27</v>
      </c>
      <c r="B56" t="s">
        <v>27</v>
      </c>
      <c r="C56" t="s">
        <v>4</v>
      </c>
      <c r="D56" t="s">
        <v>3</v>
      </c>
      <c r="E56" t="s">
        <v>5</v>
      </c>
      <c r="F56" t="s">
        <v>8</v>
      </c>
      <c r="G56">
        <v>130.68122117340701</v>
      </c>
      <c r="H56">
        <v>7.5338454539878201</v>
      </c>
      <c r="I56">
        <v>169.69490048360001</v>
      </c>
      <c r="J56">
        <v>44.985134518011797</v>
      </c>
      <c r="K56">
        <f t="shared" si="3"/>
        <v>0.34423564544380042</v>
      </c>
      <c r="L56">
        <v>83.998814212900001</v>
      </c>
      <c r="M56">
        <f t="shared" si="4"/>
        <v>0.49499904813591011</v>
      </c>
      <c r="N56">
        <f t="shared" si="5"/>
        <v>10.735166251778955</v>
      </c>
    </row>
    <row r="57" spans="1:14" x14ac:dyDescent="0.25">
      <c r="A57" t="s">
        <v>27</v>
      </c>
      <c r="B57" t="s">
        <v>27</v>
      </c>
      <c r="C57" t="s">
        <v>4</v>
      </c>
      <c r="D57" t="s">
        <v>17</v>
      </c>
      <c r="E57" t="s">
        <v>5</v>
      </c>
      <c r="F57" t="s">
        <v>8</v>
      </c>
      <c r="G57">
        <v>54.458952129766203</v>
      </c>
      <c r="H57">
        <v>16.752739167179602</v>
      </c>
      <c r="I57">
        <v>169.69490048360001</v>
      </c>
      <c r="J57">
        <v>16.8432769844677</v>
      </c>
      <c r="K57">
        <f t="shared" si="3"/>
        <v>0.30928389779394033</v>
      </c>
      <c r="L57">
        <v>132.07922324290001</v>
      </c>
      <c r="M57">
        <f t="shared" si="4"/>
        <v>0.7783334847806147</v>
      </c>
      <c r="N57">
        <f t="shared" si="5"/>
        <v>10.984622345858041</v>
      </c>
    </row>
    <row r="58" spans="1:14" x14ac:dyDescent="0.25">
      <c r="A58" t="s">
        <v>28</v>
      </c>
      <c r="B58" t="s">
        <v>28</v>
      </c>
      <c r="C58" t="s">
        <v>0</v>
      </c>
      <c r="D58" t="s">
        <v>1</v>
      </c>
      <c r="E58" t="s">
        <v>5</v>
      </c>
      <c r="F58" t="s">
        <v>7</v>
      </c>
      <c r="G58">
        <v>9548.9390000000003</v>
      </c>
      <c r="H58">
        <v>1442.3949715123299</v>
      </c>
      <c r="I58">
        <v>4073.4545608803001</v>
      </c>
      <c r="J58">
        <v>6144.6790857798997</v>
      </c>
      <c r="K58">
        <f t="shared" si="3"/>
        <v>0.64349338557717239</v>
      </c>
      <c r="L58">
        <v>669.19513672280004</v>
      </c>
      <c r="M58">
        <f t="shared" si="4"/>
        <v>0.16428196920359966</v>
      </c>
      <c r="N58">
        <f t="shared" si="5"/>
        <v>10.749147866508096</v>
      </c>
    </row>
    <row r="59" spans="1:14" x14ac:dyDescent="0.25">
      <c r="A59" t="s">
        <v>28</v>
      </c>
      <c r="B59" t="s">
        <v>28</v>
      </c>
      <c r="C59" t="s">
        <v>0</v>
      </c>
      <c r="D59" t="s">
        <v>2</v>
      </c>
      <c r="E59" t="s">
        <v>5</v>
      </c>
      <c r="F59" t="s">
        <v>7</v>
      </c>
      <c r="G59">
        <v>8760.9030000000002</v>
      </c>
      <c r="H59">
        <v>1816.3808327761701</v>
      </c>
      <c r="I59">
        <v>4073.4545608803001</v>
      </c>
      <c r="J59">
        <v>6134.2927787026001</v>
      </c>
      <c r="K59">
        <f t="shared" si="3"/>
        <v>0.70018955565454843</v>
      </c>
      <c r="L59">
        <v>1446.8439646147001</v>
      </c>
      <c r="M59">
        <f t="shared" si="4"/>
        <v>0.35518843845947495</v>
      </c>
      <c r="N59">
        <f t="shared" si="5"/>
        <v>7.0999610101458632</v>
      </c>
    </row>
    <row r="60" spans="1:14" x14ac:dyDescent="0.25">
      <c r="A60" t="s">
        <v>28</v>
      </c>
      <c r="B60" t="s">
        <v>28</v>
      </c>
      <c r="C60" t="s">
        <v>0</v>
      </c>
      <c r="D60" t="s">
        <v>3</v>
      </c>
      <c r="E60" t="s">
        <v>5</v>
      </c>
      <c r="F60" t="s">
        <v>7</v>
      </c>
      <c r="G60">
        <v>16976.886998055299</v>
      </c>
      <c r="H60">
        <v>2173.3784566643699</v>
      </c>
      <c r="I60">
        <v>4073.4545608803001</v>
      </c>
      <c r="J60">
        <v>14624.1632145125</v>
      </c>
      <c r="K60">
        <f t="shared" si="3"/>
        <v>0.86141606621918954</v>
      </c>
      <c r="L60">
        <v>1720.7307800993001</v>
      </c>
      <c r="M60">
        <f t="shared" si="4"/>
        <v>0.42242542647325837</v>
      </c>
      <c r="N60">
        <f t="shared" si="5"/>
        <v>5.8499193648336139</v>
      </c>
    </row>
    <row r="61" spans="1:14" x14ac:dyDescent="0.25">
      <c r="A61" t="s">
        <v>28</v>
      </c>
      <c r="B61" t="s">
        <v>28</v>
      </c>
      <c r="C61" t="s">
        <v>0</v>
      </c>
      <c r="D61" t="s">
        <v>17</v>
      </c>
      <c r="E61" t="s">
        <v>5</v>
      </c>
      <c r="F61" t="s">
        <v>7</v>
      </c>
      <c r="G61">
        <v>6253.3435343761203</v>
      </c>
      <c r="H61">
        <v>813.79632577320501</v>
      </c>
      <c r="I61">
        <v>4073.4545608803001</v>
      </c>
      <c r="J61">
        <v>4916.0041190882002</v>
      </c>
      <c r="K61">
        <f t="shared" si="3"/>
        <v>0.78614010122165101</v>
      </c>
      <c r="L61">
        <v>2736.1089948160002</v>
      </c>
      <c r="M61">
        <f t="shared" si="4"/>
        <v>0.67169252876720664</v>
      </c>
      <c r="N61">
        <f t="shared" si="5"/>
        <v>5.3048901092847824</v>
      </c>
    </row>
    <row r="62" spans="1:14" x14ac:dyDescent="0.25">
      <c r="A62" t="s">
        <v>29</v>
      </c>
      <c r="B62" t="s">
        <v>29</v>
      </c>
      <c r="C62" t="s">
        <v>0</v>
      </c>
      <c r="D62" t="s">
        <v>1</v>
      </c>
      <c r="E62" t="s">
        <v>5</v>
      </c>
      <c r="F62" t="s">
        <v>7</v>
      </c>
      <c r="G62">
        <v>3041.2860000000001</v>
      </c>
      <c r="H62">
        <v>190.00828388337999</v>
      </c>
      <c r="I62">
        <v>1605.9073419593001</v>
      </c>
      <c r="J62">
        <v>1904.2499725252001</v>
      </c>
      <c r="K62">
        <f t="shared" si="3"/>
        <v>0.62613314647987728</v>
      </c>
      <c r="L62">
        <v>468.87176705439998</v>
      </c>
      <c r="M62">
        <f t="shared" si="4"/>
        <v>0.29196688675845345</v>
      </c>
      <c r="N62">
        <f t="shared" si="5"/>
        <v>8.2163591241648355</v>
      </c>
    </row>
    <row r="63" spans="1:14" x14ac:dyDescent="0.25">
      <c r="A63" t="s">
        <v>29</v>
      </c>
      <c r="B63" t="s">
        <v>29</v>
      </c>
      <c r="C63" t="s">
        <v>0</v>
      </c>
      <c r="D63" t="s">
        <v>2</v>
      </c>
      <c r="E63" t="s">
        <v>5</v>
      </c>
      <c r="F63" t="s">
        <v>7</v>
      </c>
      <c r="G63">
        <v>2622.6109999999999</v>
      </c>
      <c r="H63">
        <v>250.37915626604899</v>
      </c>
      <c r="I63">
        <v>1605.9073419593001</v>
      </c>
      <c r="J63">
        <v>1352.1374862886</v>
      </c>
      <c r="K63">
        <f t="shared" si="3"/>
        <v>0.51556921186123295</v>
      </c>
      <c r="L63">
        <v>335.43384110530002</v>
      </c>
      <c r="M63">
        <f t="shared" si="4"/>
        <v>0.20887496578479509</v>
      </c>
      <c r="N63">
        <f t="shared" si="5"/>
        <v>10.606364533605779</v>
      </c>
    </row>
    <row r="64" spans="1:14" x14ac:dyDescent="0.25">
      <c r="A64" t="s">
        <v>29</v>
      </c>
      <c r="B64" t="s">
        <v>29</v>
      </c>
      <c r="C64" t="s">
        <v>0</v>
      </c>
      <c r="D64" t="s">
        <v>3</v>
      </c>
      <c r="E64" t="s">
        <v>5</v>
      </c>
      <c r="F64" t="s">
        <v>7</v>
      </c>
      <c r="G64">
        <v>4763.7727514879798</v>
      </c>
      <c r="H64">
        <v>403.86246552551199</v>
      </c>
      <c r="I64">
        <v>1605.9073419593001</v>
      </c>
      <c r="J64">
        <v>3690.23253843464</v>
      </c>
      <c r="K64">
        <f t="shared" si="3"/>
        <v>0.77464495704208058</v>
      </c>
      <c r="L64">
        <v>532.36712891679997</v>
      </c>
      <c r="M64">
        <f t="shared" si="4"/>
        <v>0.33150550782542731</v>
      </c>
      <c r="N64">
        <f t="shared" si="5"/>
        <v>6.889283054737426</v>
      </c>
    </row>
    <row r="65" spans="1:14" x14ac:dyDescent="0.25">
      <c r="A65" t="s">
        <v>29</v>
      </c>
      <c r="B65" t="s">
        <v>29</v>
      </c>
      <c r="C65" t="s">
        <v>0</v>
      </c>
      <c r="D65" t="s">
        <v>17</v>
      </c>
      <c r="E65" t="s">
        <v>5</v>
      </c>
      <c r="F65" t="s">
        <v>7</v>
      </c>
      <c r="G65">
        <v>4464.0364343773399</v>
      </c>
      <c r="H65">
        <v>327.47770550465498</v>
      </c>
      <c r="I65">
        <v>1605.9073419593001</v>
      </c>
      <c r="J65">
        <v>3737.3181182112098</v>
      </c>
      <c r="K65">
        <f t="shared" si="3"/>
        <v>0.83720600697393377</v>
      </c>
      <c r="L65">
        <v>879.19332837280001</v>
      </c>
      <c r="M65">
        <f t="shared" si="4"/>
        <v>0.54747450578321233</v>
      </c>
      <c r="N65">
        <f t="shared" si="5"/>
        <v>5.4099165098499871</v>
      </c>
    </row>
  </sheetData>
  <autoFilter ref="B1:N65" xr:uid="{61D8CB49-1BA0-4667-9DDF-E9AE55A0F8B8}">
    <sortState xmlns:xlrd2="http://schemas.microsoft.com/office/spreadsheetml/2017/richdata2" ref="B3:N63">
      <sortCondition ref="B1:B6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Rémi Bodinier</dc:creator>
  <cp:lastModifiedBy>Rémi Bodinier</cp:lastModifiedBy>
  <dcterms:created xsi:type="dcterms:W3CDTF">2025-04-25T08:16:44Z</dcterms:created>
  <dcterms:modified xsi:type="dcterms:W3CDTF">2026-04-13T08:20:00Z</dcterms:modified>
</cp:coreProperties>
</file>